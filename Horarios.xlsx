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Memoria Interna\13. Proyectos Programación\Horario\"/>
    </mc:Choice>
  </mc:AlternateContent>
  <xr:revisionPtr revIDLastSave="0" documentId="13_ncr:1_{C82DCF4D-F1D1-44F3-AB41-D5079CC4A40A}" xr6:coauthVersionLast="47" xr6:coauthVersionMax="47" xr10:uidLastSave="{00000000-0000-0000-0000-000000000000}"/>
  <bookViews>
    <workbookView xWindow="20370" yWindow="-120" windowWidth="29040" windowHeight="15720" activeTab="5" xr2:uid="{CB002BC7-7A10-4ACC-A5D3-E2AA5B36BDE0}"/>
  </bookViews>
  <sheets>
    <sheet name="html" sheetId="2" r:id="rId1"/>
    <sheet name="Household chores" sheetId="7" r:id="rId2"/>
    <sheet name="Preguntas Journaling" sheetId="3" r:id="rId3"/>
    <sheet name="Horario de Ejercicios" sheetId="4" r:id="rId4"/>
    <sheet name="Learn" sheetId="5" r:id="rId5"/>
    <sheet name="Hoja2" sheetId="9" r:id="rId6"/>
    <sheet name="Proyectos Personal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9" l="1"/>
  <c r="F2" i="9" s="1"/>
  <c r="E3" i="9"/>
  <c r="F3" i="9" s="1"/>
  <c r="E4" i="9"/>
  <c r="F4" i="9" s="1"/>
  <c r="E5" i="9"/>
  <c r="F5" i="9" s="1"/>
  <c r="E6" i="9"/>
  <c r="F6" i="9" s="1"/>
  <c r="E7" i="9"/>
  <c r="F7" i="9" s="1"/>
  <c r="E8" i="9"/>
  <c r="F8" i="9" s="1"/>
  <c r="A18" i="2"/>
  <c r="B18" i="2" s="1"/>
  <c r="A15" i="2"/>
  <c r="B15" i="2" s="1"/>
  <c r="A12" i="2"/>
  <c r="B12" i="2" l="1"/>
</calcChain>
</file>

<file path=xl/sharedStrings.xml><?xml version="1.0" encoding="utf-8"?>
<sst xmlns="http://schemas.openxmlformats.org/spreadsheetml/2006/main" count="135" uniqueCount="79">
  <si>
    <t>Journaling</t>
  </si>
  <si>
    <t>Homework (Hoy)</t>
  </si>
  <si>
    <t>Workout</t>
  </si>
  <si>
    <r>
      <t xml:space="preserve">☀️ </t>
    </r>
    <r>
      <rPr>
        <b/>
        <sz val="11"/>
        <color theme="1"/>
        <rFont val="Aptos Narrow"/>
        <family val="2"/>
        <scheme val="minor"/>
      </rPr>
      <t>Morning Routine:</t>
    </r>
    <r>
      <rPr>
        <sz val="11"/>
        <color theme="1"/>
        <rFont val="Aptos Narrow"/>
        <family val="2"/>
        <scheme val="minor"/>
      </rPr>
      <t xml:space="preserve"> What is one small thing that made you smile today?</t>
    </r>
  </si>
  <si>
    <r>
      <t xml:space="preserve">🎯 </t>
    </r>
    <r>
      <rPr>
        <b/>
        <sz val="11"/>
        <color theme="1"/>
        <rFont val="Aptos Narrow"/>
        <family val="2"/>
        <scheme val="minor"/>
      </rPr>
      <t>Personal Goals:</t>
    </r>
    <r>
      <rPr>
        <sz val="11"/>
        <color theme="1"/>
        <rFont val="Aptos Narrow"/>
        <family val="2"/>
        <scheme val="minor"/>
      </rPr>
      <t xml:space="preserve"> What is one goal you want to achieve this week, and why is it important to you?</t>
    </r>
  </si>
  <si>
    <r>
      <t xml:space="preserve">🧘 </t>
    </r>
    <r>
      <rPr>
        <b/>
        <sz val="11"/>
        <color theme="1"/>
        <rFont val="Aptos Narrow"/>
        <family val="2"/>
        <scheme val="minor"/>
      </rPr>
      <t>Mindfulness:</t>
    </r>
    <r>
      <rPr>
        <sz val="11"/>
        <color theme="1"/>
        <rFont val="Aptos Narrow"/>
        <family val="2"/>
        <scheme val="minor"/>
      </rPr>
      <t xml:space="preserve"> How are you feeling right now in three words?</t>
    </r>
  </si>
  <si>
    <r>
      <t xml:space="preserve">💡 </t>
    </r>
    <r>
      <rPr>
        <b/>
        <sz val="11"/>
        <color theme="1"/>
        <rFont val="Aptos Narrow"/>
        <family val="2"/>
        <scheme val="minor"/>
      </rPr>
      <t>Self-Reflection:</t>
    </r>
    <r>
      <rPr>
        <sz val="11"/>
        <color theme="1"/>
        <rFont val="Aptos Narrow"/>
        <family val="2"/>
        <scheme val="minor"/>
      </rPr>
      <t xml:space="preserve"> What is a recent mistake you made, and what did you learn from it?</t>
    </r>
  </si>
  <si>
    <r>
      <t xml:space="preserve">🍫 </t>
    </r>
    <r>
      <rPr>
        <b/>
        <sz val="11"/>
        <color theme="1"/>
        <rFont val="Aptos Narrow"/>
        <family val="2"/>
        <scheme val="minor"/>
      </rPr>
      <t>Simple Pleasures:</t>
    </r>
    <r>
      <rPr>
        <sz val="11"/>
        <color theme="1"/>
        <rFont val="Aptos Narrow"/>
        <family val="2"/>
        <scheme val="minor"/>
      </rPr>
      <t xml:space="preserve"> What is your favorite treat or comfort food, and how does it make you feel?</t>
    </r>
  </si>
  <si>
    <r>
      <t xml:space="preserve">🌿 </t>
    </r>
    <r>
      <rPr>
        <b/>
        <sz val="11"/>
        <color theme="1"/>
        <rFont val="Aptos Narrow"/>
        <family val="2"/>
        <scheme val="minor"/>
      </rPr>
      <t>Habits:</t>
    </r>
    <r>
      <rPr>
        <sz val="11"/>
        <color theme="1"/>
        <rFont val="Aptos Narrow"/>
        <family val="2"/>
        <scheme val="minor"/>
      </rPr>
      <t xml:space="preserve"> What is one healthy habit you want to build in your daily routine?</t>
    </r>
  </si>
  <si>
    <r>
      <t xml:space="preserve">🤝 </t>
    </r>
    <r>
      <rPr>
        <b/>
        <sz val="11"/>
        <color theme="1"/>
        <rFont val="Aptos Narrow"/>
        <family val="2"/>
        <scheme val="minor"/>
      </rPr>
      <t>Gratitude:</t>
    </r>
    <r>
      <rPr>
        <sz val="11"/>
        <color theme="1"/>
        <rFont val="Aptos Narrow"/>
        <family val="2"/>
        <scheme val="minor"/>
      </rPr>
      <t xml:space="preserve"> Who is someone you are thankful for today, and why?</t>
    </r>
  </si>
  <si>
    <r>
      <t xml:space="preserve">🔮 </t>
    </r>
    <r>
      <rPr>
        <b/>
        <sz val="11"/>
        <color theme="1"/>
        <rFont val="Aptos Narrow"/>
        <family val="2"/>
        <scheme val="minor"/>
      </rPr>
      <t>Future Self:</t>
    </r>
    <r>
      <rPr>
        <sz val="11"/>
        <color theme="1"/>
        <rFont val="Aptos Narrow"/>
        <family val="2"/>
        <scheme val="minor"/>
      </rPr>
      <t xml:space="preserve"> Where do you see yourself one year from now?</t>
    </r>
  </si>
  <si>
    <r>
      <t xml:space="preserve">🎨 </t>
    </r>
    <r>
      <rPr>
        <b/>
        <sz val="11"/>
        <color theme="1"/>
        <rFont val="Aptos Narrow"/>
        <family val="2"/>
        <scheme val="minor"/>
      </rPr>
      <t>Creativity:</t>
    </r>
    <r>
      <rPr>
        <sz val="11"/>
        <color theme="1"/>
        <rFont val="Aptos Narrow"/>
        <family val="2"/>
        <scheme val="minor"/>
      </rPr>
      <t xml:space="preserve"> If you had a completely free day with no responsibilities, how would you spend it?</t>
    </r>
  </si>
  <si>
    <r>
      <t xml:space="preserve">💬 </t>
    </r>
    <r>
      <rPr>
        <b/>
        <sz val="11"/>
        <color theme="1"/>
        <rFont val="Aptos Narrow"/>
        <family val="2"/>
        <scheme val="minor"/>
      </rPr>
      <t>Self-Care:</t>
    </r>
    <r>
      <rPr>
        <sz val="11"/>
        <color theme="1"/>
        <rFont val="Aptos Narrow"/>
        <family val="2"/>
        <scheme val="minor"/>
      </rPr>
      <t xml:space="preserve"> What is one nice thing you can say to yourself today?</t>
    </r>
  </si>
  <si>
    <t>Monday</t>
  </si>
  <si>
    <t>Day</t>
  </si>
  <si>
    <t>Rutine</t>
  </si>
  <si>
    <t>Link</t>
  </si>
  <si>
    <t>https://www.youtube.com/watch?v=pehjrNhQSZQ&amp;t=1949s</t>
  </si>
  <si>
    <t>GLUTES &amp; HAMSTRINGS</t>
  </si>
  <si>
    <t>https://www.youtube.com/watch?v=3U_TXBVnW2A</t>
  </si>
  <si>
    <t>RUNNING &amp; ABS</t>
  </si>
  <si>
    <t>https://www.youtube.com/watch?v=qD9lPRPe-Yy</t>
  </si>
  <si>
    <t>BACK &amp; BICEPS</t>
  </si>
  <si>
    <t>https://www.youtube.com/watch?v=rQBO5_cDUwg</t>
  </si>
  <si>
    <t>ARMS &amp; SHOULDERS</t>
  </si>
  <si>
    <t>https://www.youtube.com/watch?v=wCUI1bwlJqA</t>
  </si>
  <si>
    <t>RUNNING AND YOGA</t>
  </si>
  <si>
    <t>Tuesday</t>
  </si>
  <si>
    <t>Wednesday</t>
  </si>
  <si>
    <t>Thursday</t>
  </si>
  <si>
    <t>Friday</t>
  </si>
  <si>
    <t>Saturday</t>
  </si>
  <si>
    <t>Sunday</t>
  </si>
  <si>
    <t>https://www.youtube.com/watch?v=8lkJi4ldZ90</t>
  </si>
  <si>
    <t xml:space="preserve">RUNNING AND STRETCHES </t>
  </si>
  <si>
    <t>REST</t>
  </si>
  <si>
    <t>Learn</t>
  </si>
  <si>
    <t>Cursos</t>
  </si>
  <si>
    <t>https://learn.microsoft.com/es-mx/collections/wppyhztqjkr04o?</t>
  </si>
  <si>
    <t>https://learn.microsoft.com/es-mx/collections/0445f1tw883j3d?</t>
  </si>
  <si>
    <t>AZURE</t>
  </si>
  <si>
    <t>Analisis de Datos</t>
  </si>
  <si>
    <t>ANALISIS DE DATOS</t>
  </si>
  <si>
    <t>https://www.netacad.com/dashboard</t>
  </si>
  <si>
    <t>INGLES</t>
  </si>
  <si>
    <t>IA</t>
  </si>
  <si>
    <t>DIA</t>
  </si>
  <si>
    <t>APRENDIZAJE</t>
  </si>
  <si>
    <t>Household chores</t>
  </si>
  <si>
    <t>HOUSEWORK</t>
  </si>
  <si>
    <t>BARRER</t>
  </si>
  <si>
    <t>REGAR MATAS</t>
  </si>
  <si>
    <t>BAÑO</t>
  </si>
  <si>
    <t>TAREAS OTRAS</t>
  </si>
  <si>
    <t>GENERAL</t>
  </si>
  <si>
    <t>PROYECTO</t>
  </si>
  <si>
    <t>DESCRIPCIÓN</t>
  </si>
  <si>
    <t>AREA</t>
  </si>
  <si>
    <t>Articulo Filosofico</t>
  </si>
  <si>
    <t>Filosofia</t>
  </si>
  <si>
    <t>Generar un articulo publicable para la revista de Sin Fundamentos de la Univerdisidad libre.</t>
  </si>
  <si>
    <t>Articulo de Escalabilidad</t>
  </si>
  <si>
    <t>Generar un articulo publicable para la revista técnologica</t>
  </si>
  <si>
    <t xml:space="preserve">Publicar en LinkedIn </t>
  </si>
  <si>
    <t>Hacer publicaciones en la red para tener más vistas</t>
  </si>
  <si>
    <t>Generación de Contenido</t>
  </si>
  <si>
    <t>Generar contenido para redes sociales, principalmente en Youtube y generar Shorts para TIKTOK y otras redes sociales.</t>
  </si>
  <si>
    <t>Acuerdo de Pago</t>
  </si>
  <si>
    <t>Fechas Acuerdo Pago</t>
  </si>
  <si>
    <t>Fecha Pago</t>
  </si>
  <si>
    <t>Valor</t>
  </si>
  <si>
    <t>Referencia/Documento</t>
  </si>
  <si>
    <t>8213699937.pdf</t>
  </si>
  <si>
    <t>8035573893.pdf</t>
  </si>
  <si>
    <t>8096363851.pdf</t>
  </si>
  <si>
    <t>Incremental</t>
  </si>
  <si>
    <t>8206119211.pdf</t>
  </si>
  <si>
    <t>Estado Cuota</t>
  </si>
  <si>
    <t>8176855699.pdf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</si>
</sst>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0" applyNumberFormat="1"/>
  </cellXfs>
  <cellStyles count="3">
    <cellStyle name="Hipervínculo" xfId="1" builtinId="8"/>
    <cellStyle name="Moneda" xfId="2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qD9lPRPe-Yy" TargetMode="External"/><Relationship Id="rId2" Type="http://schemas.openxmlformats.org/officeDocument/2006/relationships/hyperlink" Target="https://www.youtube.com/watch?v=3U_TXBVnW2A" TargetMode="External"/><Relationship Id="rId1" Type="http://schemas.openxmlformats.org/officeDocument/2006/relationships/hyperlink" Target="https://www.youtube.com/watch?v=pehjrNhQSZQ&amp;t=1949s" TargetMode="External"/><Relationship Id="rId6" Type="http://schemas.openxmlformats.org/officeDocument/2006/relationships/hyperlink" Target="https://www.youtube.com/watch?v=8lkJi4ldZ90" TargetMode="External"/><Relationship Id="rId5" Type="http://schemas.openxmlformats.org/officeDocument/2006/relationships/hyperlink" Target="https://www.youtube.com/watch?v=wCUI1bwlJqA" TargetMode="External"/><Relationship Id="rId4" Type="http://schemas.openxmlformats.org/officeDocument/2006/relationships/hyperlink" Target="https://www.youtube.com/watch?v=rQBO5_cDUw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acad.com/dashboard" TargetMode="External"/><Relationship Id="rId2" Type="http://schemas.openxmlformats.org/officeDocument/2006/relationships/hyperlink" Target="https://learn.microsoft.com/es-mx/collections/0445f1tw883j3d?" TargetMode="External"/><Relationship Id="rId1" Type="http://schemas.openxmlformats.org/officeDocument/2006/relationships/hyperlink" Target="https://learn.microsoft.com/es-mx/collections/wppyhztqjkr04o?" TargetMode="External"/><Relationship Id="rId4" Type="http://schemas.openxmlformats.org/officeDocument/2006/relationships/hyperlink" Target="https://www.netacad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F27C-8DC6-4A91-BA04-E8E7D1920398}">
  <dimension ref="A1:E20"/>
  <sheetViews>
    <sheetView workbookViewId="0">
      <selection activeCell="B6" sqref="B6:E6"/>
    </sheetView>
  </sheetViews>
  <sheetFormatPr baseColWidth="10" defaultRowHeight="15" x14ac:dyDescent="0.25"/>
  <cols>
    <col min="2" max="2" width="9.5703125" customWidth="1"/>
    <col min="5" max="5" width="37.7109375" customWidth="1"/>
  </cols>
  <sheetData>
    <row r="1" spans="1:5" x14ac:dyDescent="0.25">
      <c r="B1" s="6" t="s">
        <v>1</v>
      </c>
      <c r="C1" s="6"/>
      <c r="D1" s="6"/>
      <c r="E1" s="6"/>
    </row>
    <row r="2" spans="1:5" x14ac:dyDescent="0.25">
      <c r="B2" s="6" t="s">
        <v>2</v>
      </c>
      <c r="C2" s="6"/>
      <c r="D2" s="6"/>
      <c r="E2" s="6"/>
    </row>
    <row r="4" spans="1:5" x14ac:dyDescent="0.25">
      <c r="B4" s="6" t="s">
        <v>36</v>
      </c>
      <c r="C4" s="6"/>
      <c r="D4" s="6"/>
      <c r="E4" s="6"/>
    </row>
    <row r="6" spans="1:5" x14ac:dyDescent="0.25">
      <c r="B6" s="6" t="s">
        <v>48</v>
      </c>
      <c r="C6" s="6"/>
      <c r="D6" s="6"/>
      <c r="E6" s="6"/>
    </row>
    <row r="11" spans="1:5" x14ac:dyDescent="0.25">
      <c r="B11" s="6" t="s">
        <v>0</v>
      </c>
      <c r="C11" s="6"/>
      <c r="D11" s="6"/>
      <c r="E11" s="6"/>
    </row>
    <row r="12" spans="1:5" x14ac:dyDescent="0.25">
      <c r="A12">
        <f ca="1">RANDBETWEEN(1,10)</f>
        <v>3</v>
      </c>
      <c r="B12" s="6" t="str">
        <f ca="1">VLOOKUP(A12,'Preguntas Journaling'!A1:B10,2,0)</f>
        <v>🧘 Mindfulness: How are you feeling right now in three words?</v>
      </c>
      <c r="C12" s="6"/>
      <c r="D12" s="6"/>
      <c r="E12" s="6"/>
    </row>
    <row r="13" spans="1:5" x14ac:dyDescent="0.25">
      <c r="B13" s="6"/>
      <c r="C13" s="6"/>
      <c r="D13" s="6"/>
      <c r="E13" s="6"/>
    </row>
    <row r="14" spans="1:5" x14ac:dyDescent="0.25">
      <c r="B14" s="6"/>
      <c r="C14" s="6"/>
      <c r="D14" s="6"/>
      <c r="E14" s="6"/>
    </row>
    <row r="15" spans="1:5" x14ac:dyDescent="0.25">
      <c r="A15">
        <f ca="1">RANDBETWEEN(1,10)</f>
        <v>7</v>
      </c>
      <c r="B15" s="6" t="str">
        <f ca="1">VLOOKUP(A15,'Preguntas Journaling'!A1:B10,2,0)</f>
        <v>🤝 Gratitude: Who is someone you are thankful for today, and why?</v>
      </c>
      <c r="C15" s="6"/>
      <c r="D15" s="6"/>
      <c r="E15" s="6"/>
    </row>
    <row r="16" spans="1:5" x14ac:dyDescent="0.25">
      <c r="B16" s="6"/>
      <c r="C16" s="6"/>
      <c r="D16" s="6"/>
      <c r="E16" s="6"/>
    </row>
    <row r="17" spans="1:5" x14ac:dyDescent="0.25">
      <c r="B17" s="6"/>
      <c r="C17" s="6"/>
      <c r="D17" s="6"/>
      <c r="E17" s="6"/>
    </row>
    <row r="18" spans="1:5" x14ac:dyDescent="0.25">
      <c r="A18">
        <f ca="1">RANDBETWEEN(1,10)</f>
        <v>2</v>
      </c>
      <c r="B18" s="6" t="str">
        <f ca="1">VLOOKUP(A18,'Preguntas Journaling'!A1:B10,2,0)</f>
        <v>🎯 Personal Goals: What is one goal you want to achieve this week, and why is it important to you?</v>
      </c>
      <c r="C18" s="6"/>
      <c r="D18" s="6"/>
      <c r="E18" s="6"/>
    </row>
    <row r="19" spans="1:5" x14ac:dyDescent="0.25">
      <c r="B19" s="6"/>
      <c r="C19" s="6"/>
      <c r="D19" s="6"/>
      <c r="E19" s="6"/>
    </row>
    <row r="20" spans="1:5" x14ac:dyDescent="0.25">
      <c r="B20" s="6"/>
      <c r="C20" s="6"/>
      <c r="D20" s="6"/>
      <c r="E20" s="6"/>
    </row>
  </sheetData>
  <mergeCells count="11">
    <mergeCell ref="B16:E17"/>
    <mergeCell ref="B18:E18"/>
    <mergeCell ref="B19:E20"/>
    <mergeCell ref="B2:E2"/>
    <mergeCell ref="B4:E4"/>
    <mergeCell ref="B6:E6"/>
    <mergeCell ref="B1:E1"/>
    <mergeCell ref="B11:E11"/>
    <mergeCell ref="B12:E12"/>
    <mergeCell ref="B13:E14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0A7A-FCBC-47E5-AFDA-B404E537442C}">
  <dimension ref="A1:B8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46</v>
      </c>
      <c r="B1" t="s">
        <v>49</v>
      </c>
    </row>
    <row r="2" spans="1:2" x14ac:dyDescent="0.25">
      <c r="A2" s="1" t="s">
        <v>13</v>
      </c>
      <c r="B2" t="s">
        <v>50</v>
      </c>
    </row>
    <row r="3" spans="1:2" x14ac:dyDescent="0.25">
      <c r="A3" s="1" t="s">
        <v>27</v>
      </c>
      <c r="B3" t="s">
        <v>52</v>
      </c>
    </row>
    <row r="4" spans="1:2" x14ac:dyDescent="0.25">
      <c r="A4" s="1" t="s">
        <v>28</v>
      </c>
      <c r="B4" t="s">
        <v>53</v>
      </c>
    </row>
    <row r="5" spans="1:2" x14ac:dyDescent="0.25">
      <c r="A5" s="1" t="s">
        <v>29</v>
      </c>
      <c r="B5" t="s">
        <v>50</v>
      </c>
    </row>
    <row r="6" spans="1:2" x14ac:dyDescent="0.25">
      <c r="A6" s="1" t="s">
        <v>30</v>
      </c>
      <c r="B6" t="s">
        <v>51</v>
      </c>
    </row>
    <row r="7" spans="1:2" x14ac:dyDescent="0.25">
      <c r="A7" s="1" t="s">
        <v>31</v>
      </c>
      <c r="B7" t="s">
        <v>54</v>
      </c>
    </row>
    <row r="8" spans="1:2" x14ac:dyDescent="0.25">
      <c r="A8" s="1" t="s">
        <v>32</v>
      </c>
      <c r="B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1EAB-EF93-40D7-853C-F1110E42C33C}">
  <dimension ref="A1:B10"/>
  <sheetViews>
    <sheetView workbookViewId="0">
      <selection activeCell="B6" sqref="B6"/>
    </sheetView>
  </sheetViews>
  <sheetFormatPr baseColWidth="10" defaultRowHeight="15" x14ac:dyDescent="0.25"/>
  <sheetData>
    <row r="1" spans="1:2" x14ac:dyDescent="0.25">
      <c r="A1">
        <v>1</v>
      </c>
      <c r="B1" t="s">
        <v>3</v>
      </c>
    </row>
    <row r="2" spans="1:2" x14ac:dyDescent="0.25">
      <c r="A2">
        <v>2</v>
      </c>
      <c r="B2" t="s">
        <v>4</v>
      </c>
    </row>
    <row r="3" spans="1:2" x14ac:dyDescent="0.25">
      <c r="A3">
        <v>3</v>
      </c>
      <c r="B3" t="s">
        <v>5</v>
      </c>
    </row>
    <row r="4" spans="1:2" x14ac:dyDescent="0.25">
      <c r="A4">
        <v>4</v>
      </c>
      <c r="B4" t="s">
        <v>6</v>
      </c>
    </row>
    <row r="5" spans="1:2" x14ac:dyDescent="0.25">
      <c r="A5">
        <v>5</v>
      </c>
      <c r="B5" t="s">
        <v>7</v>
      </c>
    </row>
    <row r="6" spans="1:2" x14ac:dyDescent="0.25">
      <c r="A6">
        <v>6</v>
      </c>
      <c r="B6" t="s">
        <v>8</v>
      </c>
    </row>
    <row r="7" spans="1:2" x14ac:dyDescent="0.25">
      <c r="A7">
        <v>7</v>
      </c>
      <c r="B7" t="s">
        <v>9</v>
      </c>
    </row>
    <row r="8" spans="1:2" x14ac:dyDescent="0.25">
      <c r="A8">
        <v>8</v>
      </c>
      <c r="B8" t="s">
        <v>10</v>
      </c>
    </row>
    <row r="9" spans="1:2" x14ac:dyDescent="0.25">
      <c r="A9">
        <v>9</v>
      </c>
      <c r="B9" t="s">
        <v>11</v>
      </c>
    </row>
    <row r="10" spans="1:2" x14ac:dyDescent="0.25">
      <c r="A10">
        <v>10</v>
      </c>
      <c r="B10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F29C-791C-4B0A-9F9C-C8B263D3281D}">
  <dimension ref="A1:C8"/>
  <sheetViews>
    <sheetView workbookViewId="0">
      <selection activeCell="C35" sqref="C35"/>
    </sheetView>
  </sheetViews>
  <sheetFormatPr baseColWidth="10" defaultRowHeight="15" x14ac:dyDescent="0.25"/>
  <cols>
    <col min="1" max="1" width="15" bestFit="1" customWidth="1"/>
    <col min="2" max="2" width="21.28515625" bestFit="1" customWidth="1"/>
    <col min="3" max="3" width="53.5703125" bestFit="1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ht="16.5" customHeight="1" x14ac:dyDescent="0.25">
      <c r="A2" s="1" t="s">
        <v>13</v>
      </c>
      <c r="B2" t="s">
        <v>18</v>
      </c>
      <c r="C2" s="2" t="s">
        <v>17</v>
      </c>
    </row>
    <row r="3" spans="1:3" x14ac:dyDescent="0.25">
      <c r="A3" s="1" t="s">
        <v>27</v>
      </c>
      <c r="B3" t="s">
        <v>20</v>
      </c>
      <c r="C3" s="2" t="s">
        <v>19</v>
      </c>
    </row>
    <row r="4" spans="1:3" x14ac:dyDescent="0.25">
      <c r="A4" s="1" t="s">
        <v>28</v>
      </c>
      <c r="B4" t="s">
        <v>24</v>
      </c>
      <c r="C4" s="2" t="s">
        <v>23</v>
      </c>
    </row>
    <row r="5" spans="1:3" x14ac:dyDescent="0.25">
      <c r="A5" s="1" t="s">
        <v>29</v>
      </c>
      <c r="B5" t="s">
        <v>26</v>
      </c>
      <c r="C5" s="2" t="s">
        <v>25</v>
      </c>
    </row>
    <row r="6" spans="1:3" x14ac:dyDescent="0.25">
      <c r="A6" s="1" t="s">
        <v>30</v>
      </c>
      <c r="B6" t="s">
        <v>22</v>
      </c>
      <c r="C6" s="2" t="s">
        <v>21</v>
      </c>
    </row>
    <row r="7" spans="1:3" x14ac:dyDescent="0.25">
      <c r="A7" s="1" t="s">
        <v>31</v>
      </c>
      <c r="B7" t="s">
        <v>34</v>
      </c>
      <c r="C7" s="2" t="s">
        <v>33</v>
      </c>
    </row>
    <row r="8" spans="1:3" x14ac:dyDescent="0.25">
      <c r="A8" s="1" t="s">
        <v>32</v>
      </c>
      <c r="B8" t="s">
        <v>35</v>
      </c>
    </row>
  </sheetData>
  <hyperlinks>
    <hyperlink ref="C2" r:id="rId1" xr:uid="{51EC66EB-76C4-4019-9B5C-53CEAE974E60}"/>
    <hyperlink ref="C3" r:id="rId2" xr:uid="{BDA8A87E-4B0F-4013-AF38-9C49E9B39D64}"/>
    <hyperlink ref="C6" r:id="rId3" xr:uid="{0CEE0CD8-8697-46B2-9790-586ABC681315}"/>
    <hyperlink ref="C4" r:id="rId4" xr:uid="{B97066BB-A220-49C0-9AA7-D3BD417CCF2B}"/>
    <hyperlink ref="C5" r:id="rId5" xr:uid="{AD537AA2-2B98-4C3D-B506-AC972EDD0149}"/>
    <hyperlink ref="C7" r:id="rId6" xr:uid="{DC534869-221C-4D47-BA26-F3BD07BF0C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2938-951F-4EE2-8B24-DB9A6E44AA3D}">
  <dimension ref="A1:E15"/>
  <sheetViews>
    <sheetView workbookViewId="0">
      <selection activeCell="B15" sqref="B15"/>
    </sheetView>
  </sheetViews>
  <sheetFormatPr baseColWidth="10" defaultRowHeight="15" x14ac:dyDescent="0.25"/>
  <cols>
    <col min="1" max="1" width="17.85546875" bestFit="1" customWidth="1"/>
    <col min="2" max="2" width="58.5703125" bestFit="1" customWidth="1"/>
    <col min="4" max="4" width="11.5703125" bestFit="1" customWidth="1"/>
    <col min="5" max="5" width="19.28515625" customWidth="1"/>
  </cols>
  <sheetData>
    <row r="1" spans="1:5" x14ac:dyDescent="0.25">
      <c r="A1" t="s">
        <v>37</v>
      </c>
      <c r="B1" t="s">
        <v>16</v>
      </c>
      <c r="D1" t="s">
        <v>46</v>
      </c>
      <c r="E1" t="s">
        <v>47</v>
      </c>
    </row>
    <row r="2" spans="1:5" x14ac:dyDescent="0.25">
      <c r="A2" t="s">
        <v>42</v>
      </c>
      <c r="B2" s="2" t="s">
        <v>38</v>
      </c>
      <c r="D2" s="1" t="s">
        <v>13</v>
      </c>
      <c r="E2" t="s">
        <v>44</v>
      </c>
    </row>
    <row r="3" spans="1:5" x14ac:dyDescent="0.25">
      <c r="A3" t="s">
        <v>40</v>
      </c>
      <c r="B3" s="2" t="s">
        <v>39</v>
      </c>
      <c r="D3" s="1" t="s">
        <v>27</v>
      </c>
      <c r="E3" t="s">
        <v>44</v>
      </c>
    </row>
    <row r="4" spans="1:5" x14ac:dyDescent="0.25">
      <c r="A4" t="s">
        <v>44</v>
      </c>
      <c r="B4" s="2" t="s">
        <v>43</v>
      </c>
      <c r="D4" s="1" t="s">
        <v>28</v>
      </c>
      <c r="E4" t="s">
        <v>44</v>
      </c>
    </row>
    <row r="5" spans="1:5" x14ac:dyDescent="0.25">
      <c r="A5" t="s">
        <v>45</v>
      </c>
      <c r="B5" s="2" t="s">
        <v>43</v>
      </c>
      <c r="D5" s="1" t="s">
        <v>29</v>
      </c>
      <c r="E5" t="s">
        <v>44</v>
      </c>
    </row>
    <row r="6" spans="1:5" x14ac:dyDescent="0.25">
      <c r="D6" s="1" t="s">
        <v>30</v>
      </c>
      <c r="E6" t="s">
        <v>44</v>
      </c>
    </row>
    <row r="7" spans="1:5" x14ac:dyDescent="0.25">
      <c r="D7" s="1" t="s">
        <v>31</v>
      </c>
      <c r="E7" t="s">
        <v>35</v>
      </c>
    </row>
    <row r="8" spans="1:5" x14ac:dyDescent="0.25">
      <c r="D8" s="1" t="s">
        <v>32</v>
      </c>
      <c r="E8" t="s">
        <v>35</v>
      </c>
    </row>
    <row r="9" spans="1:5" x14ac:dyDescent="0.25">
      <c r="D9" s="1" t="s">
        <v>13</v>
      </c>
      <c r="E9" t="s">
        <v>40</v>
      </c>
    </row>
    <row r="10" spans="1:5" x14ac:dyDescent="0.25">
      <c r="D10" s="1" t="s">
        <v>27</v>
      </c>
      <c r="E10" t="s">
        <v>40</v>
      </c>
    </row>
    <row r="11" spans="1:5" x14ac:dyDescent="0.25">
      <c r="D11" s="1" t="s">
        <v>28</v>
      </c>
      <c r="E11" t="s">
        <v>45</v>
      </c>
    </row>
    <row r="12" spans="1:5" x14ac:dyDescent="0.25">
      <c r="D12" s="1" t="s">
        <v>29</v>
      </c>
      <c r="E12" t="s">
        <v>45</v>
      </c>
    </row>
    <row r="13" spans="1:5" x14ac:dyDescent="0.25">
      <c r="D13" s="1" t="s">
        <v>30</v>
      </c>
      <c r="E13" t="s">
        <v>42</v>
      </c>
    </row>
    <row r="14" spans="1:5" x14ac:dyDescent="0.25">
      <c r="D14" s="1" t="s">
        <v>31</v>
      </c>
      <c r="E14" t="s">
        <v>35</v>
      </c>
    </row>
    <row r="15" spans="1:5" x14ac:dyDescent="0.25">
      <c r="D15" s="1" t="s">
        <v>32</v>
      </c>
      <c r="E15" t="s">
        <v>35</v>
      </c>
    </row>
  </sheetData>
  <hyperlinks>
    <hyperlink ref="B2" r:id="rId1" xr:uid="{A8DA3B7B-EE96-40AB-9B7A-28143B2D6656}"/>
    <hyperlink ref="B3" r:id="rId2" xr:uid="{945F3879-3008-42EB-8911-47ACD8ABC96F}"/>
    <hyperlink ref="B4" r:id="rId3" xr:uid="{70D60FDB-B242-413C-9E6F-2A4BCC5F5EBF}"/>
    <hyperlink ref="B5" r:id="rId4" xr:uid="{C3844664-65AF-487B-BAB9-7AB4085B04E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B86B-F37F-4E2E-905A-1659D68C2B2F}">
  <dimension ref="A1:G11"/>
  <sheetViews>
    <sheetView tabSelected="1" topLeftCell="A4" workbookViewId="0">
      <selection activeCell="G18" sqref="G18"/>
    </sheetView>
  </sheetViews>
  <sheetFormatPr baseColWidth="10" defaultRowHeight="15" x14ac:dyDescent="0.25"/>
  <cols>
    <col min="1" max="1" width="20" bestFit="1" customWidth="1"/>
    <col min="2" max="2" width="15.7109375" style="5" bestFit="1" customWidth="1"/>
    <col min="3" max="3" width="11.140625" bestFit="1" customWidth="1"/>
    <col min="4" max="4" width="10.42578125" style="5" bestFit="1" customWidth="1"/>
    <col min="5" max="5" width="12" style="5" hidden="1" customWidth="1"/>
    <col min="6" max="6" width="17.5703125" style="5" customWidth="1"/>
    <col min="7" max="7" width="21.42578125" bestFit="1" customWidth="1"/>
  </cols>
  <sheetData>
    <row r="1" spans="1:7" x14ac:dyDescent="0.25">
      <c r="A1" t="s">
        <v>68</v>
      </c>
      <c r="B1" s="5" t="s">
        <v>67</v>
      </c>
      <c r="C1" t="s">
        <v>69</v>
      </c>
      <c r="D1" s="5" t="s">
        <v>70</v>
      </c>
      <c r="E1" s="5" t="s">
        <v>75</v>
      </c>
      <c r="F1" s="5" t="s">
        <v>77</v>
      </c>
      <c r="G1" t="s">
        <v>71</v>
      </c>
    </row>
    <row r="2" spans="1:7" x14ac:dyDescent="0.25">
      <c r="A2" s="4">
        <v>46163</v>
      </c>
      <c r="B2" s="5">
        <v>250000</v>
      </c>
      <c r="C2" s="4">
        <v>46163</v>
      </c>
      <c r="D2" s="5">
        <v>250000</v>
      </c>
      <c r="E2" s="5">
        <f>SUM($B$2:B2)</f>
        <v>250000</v>
      </c>
      <c r="F2" s="5" t="str">
        <f>IF(SUM($D$2:$D$8)-E2&gt;0,"Paga","Pendiente")</f>
        <v>Paga</v>
      </c>
      <c r="G2" t="s">
        <v>72</v>
      </c>
    </row>
    <row r="3" spans="1:7" x14ac:dyDescent="0.25">
      <c r="A3" s="4">
        <v>46194</v>
      </c>
      <c r="B3" s="5">
        <v>234400</v>
      </c>
      <c r="C3" s="4">
        <v>46206</v>
      </c>
      <c r="D3" s="5">
        <v>250000</v>
      </c>
      <c r="E3" s="5">
        <f>SUM($B$2:B3)</f>
        <v>484400</v>
      </c>
      <c r="F3" s="5" t="str">
        <f>IF(SUM($D$2:$D$8)-E3&gt;0,"Paga","Pendiente")</f>
        <v>Paga</v>
      </c>
      <c r="G3" t="s">
        <v>73</v>
      </c>
    </row>
    <row r="4" spans="1:7" x14ac:dyDescent="0.25">
      <c r="A4" s="4">
        <v>46224</v>
      </c>
      <c r="B4" s="5">
        <v>234400</v>
      </c>
      <c r="C4" s="4">
        <v>46243</v>
      </c>
      <c r="D4" s="5">
        <v>200000</v>
      </c>
      <c r="E4" s="5">
        <f>SUM($B$2:B4)</f>
        <v>718800</v>
      </c>
      <c r="F4" s="5" t="str">
        <f>IF(SUM($D$2:$D$8)-E4&gt;0,"Paga","Pendiente")</f>
        <v>Paga</v>
      </c>
      <c r="G4" t="s">
        <v>74</v>
      </c>
    </row>
    <row r="5" spans="1:7" x14ac:dyDescent="0.25">
      <c r="A5" s="4">
        <v>46255</v>
      </c>
      <c r="B5" s="5">
        <v>234400</v>
      </c>
      <c r="C5" s="4">
        <v>46254</v>
      </c>
      <c r="D5" s="5">
        <v>270000</v>
      </c>
      <c r="E5" s="5">
        <f>SUM($B$2:B5)</f>
        <v>953200</v>
      </c>
      <c r="F5" s="5" t="str">
        <f>IF(SUM($D$2:$D$8)-E5&gt;0,"Paga","Pendiente")</f>
        <v>Paga</v>
      </c>
      <c r="G5" t="s">
        <v>76</v>
      </c>
    </row>
    <row r="6" spans="1:7" x14ac:dyDescent="0.25">
      <c r="A6" s="4">
        <v>46286</v>
      </c>
      <c r="B6" s="5">
        <v>234400</v>
      </c>
      <c r="C6" s="4">
        <v>46282</v>
      </c>
      <c r="D6" s="5">
        <v>140000</v>
      </c>
      <c r="E6" s="5">
        <f>SUM($B$2:B6)</f>
        <v>1187600</v>
      </c>
      <c r="F6" s="5" t="str">
        <f>IF(SUM($D$2:$D$8)-E6&gt;0,"Paga","Pendiente")</f>
        <v>Pendiente</v>
      </c>
      <c r="G6" t="s">
        <v>78</v>
      </c>
    </row>
    <row r="7" spans="1:7" x14ac:dyDescent="0.25">
      <c r="A7" s="4">
        <v>46316</v>
      </c>
      <c r="B7" s="5">
        <v>234400</v>
      </c>
      <c r="E7" s="5">
        <f>SUM($B$2:B7)</f>
        <v>1422000</v>
      </c>
      <c r="F7" s="5" t="str">
        <f>IF(SUM($D$2:$D$8)-E7&gt;0,"Paga","Pendiente")</f>
        <v>Pendiente</v>
      </c>
    </row>
    <row r="8" spans="1:7" x14ac:dyDescent="0.25">
      <c r="A8" s="4">
        <v>46347</v>
      </c>
      <c r="B8" s="5">
        <v>227020</v>
      </c>
      <c r="E8" s="5">
        <f>SUM($B$2:B8)</f>
        <v>1649020</v>
      </c>
      <c r="F8" s="5" t="str">
        <f>IF(SUM($D$2:$D$8)-E8&gt;0,"Paga","Pendiente")</f>
        <v>Pendiente</v>
      </c>
    </row>
    <row r="11" spans="1:7" x14ac:dyDescent="0.25">
      <c r="C11" s="7"/>
    </row>
  </sheetData>
  <conditionalFormatting sqref="F1:F1048576">
    <cfRule type="cellIs" dxfId="1" priority="1" operator="equal">
      <formula>"Pendiente"</formula>
    </cfRule>
    <cfRule type="cellIs" dxfId="0" priority="2" operator="equal">
      <formula>"Paga"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907F-5D7A-4801-83A5-8C667A18C974}">
  <dimension ref="A1:F15"/>
  <sheetViews>
    <sheetView workbookViewId="0">
      <selection activeCell="D18" sqref="D18"/>
    </sheetView>
  </sheetViews>
  <sheetFormatPr baseColWidth="10" defaultRowHeight="15" x14ac:dyDescent="0.25"/>
  <cols>
    <col min="1" max="1" width="28.42578125" customWidth="1"/>
    <col min="2" max="2" width="16.42578125" bestFit="1" customWidth="1"/>
    <col min="3" max="3" width="52" style="3" customWidth="1"/>
    <col min="6" max="6" width="23.42578125" bestFit="1" customWidth="1"/>
  </cols>
  <sheetData>
    <row r="1" spans="1:6" x14ac:dyDescent="0.25">
      <c r="A1" t="s">
        <v>55</v>
      </c>
      <c r="B1" t="s">
        <v>57</v>
      </c>
      <c r="C1" s="3" t="s">
        <v>56</v>
      </c>
      <c r="E1" t="s">
        <v>46</v>
      </c>
      <c r="F1" t="s">
        <v>47</v>
      </c>
    </row>
    <row r="2" spans="1:6" ht="30" x14ac:dyDescent="0.25">
      <c r="A2" t="s">
        <v>58</v>
      </c>
      <c r="B2" t="s">
        <v>59</v>
      </c>
      <c r="C2" s="3" t="s">
        <v>60</v>
      </c>
      <c r="E2" s="1" t="s">
        <v>13</v>
      </c>
      <c r="F2" t="s">
        <v>58</v>
      </c>
    </row>
    <row r="3" spans="1:6" ht="30" x14ac:dyDescent="0.25">
      <c r="A3" t="s">
        <v>61</v>
      </c>
      <c r="B3" t="s">
        <v>41</v>
      </c>
      <c r="C3" s="3" t="s">
        <v>62</v>
      </c>
      <c r="E3" s="1" t="s">
        <v>27</v>
      </c>
      <c r="F3" t="s">
        <v>61</v>
      </c>
    </row>
    <row r="4" spans="1:6" x14ac:dyDescent="0.25">
      <c r="A4" t="s">
        <v>63</v>
      </c>
      <c r="B4" t="s">
        <v>41</v>
      </c>
      <c r="C4" s="3" t="s">
        <v>64</v>
      </c>
      <c r="E4" s="1" t="s">
        <v>28</v>
      </c>
      <c r="F4" t="s">
        <v>58</v>
      </c>
    </row>
    <row r="5" spans="1:6" ht="45" x14ac:dyDescent="0.25">
      <c r="A5" t="s">
        <v>65</v>
      </c>
      <c r="B5" t="s">
        <v>41</v>
      </c>
      <c r="C5" s="3" t="s">
        <v>66</v>
      </c>
      <c r="E5" s="1" t="s">
        <v>29</v>
      </c>
      <c r="F5" t="s">
        <v>63</v>
      </c>
    </row>
    <row r="6" spans="1:6" x14ac:dyDescent="0.25">
      <c r="E6" s="1" t="s">
        <v>30</v>
      </c>
      <c r="F6" t="s">
        <v>61</v>
      </c>
    </row>
    <row r="7" spans="1:6" x14ac:dyDescent="0.25">
      <c r="E7" s="1" t="s">
        <v>31</v>
      </c>
      <c r="F7" t="s">
        <v>65</v>
      </c>
    </row>
    <row r="8" spans="1:6" x14ac:dyDescent="0.25">
      <c r="E8" s="1"/>
    </row>
    <row r="9" spans="1:6" x14ac:dyDescent="0.25">
      <c r="E9" s="1"/>
    </row>
    <row r="10" spans="1:6" x14ac:dyDescent="0.25">
      <c r="E10" s="1"/>
    </row>
    <row r="11" spans="1:6" x14ac:dyDescent="0.25">
      <c r="E11" s="1"/>
    </row>
    <row r="12" spans="1:6" x14ac:dyDescent="0.25">
      <c r="E12" s="1"/>
    </row>
    <row r="13" spans="1:6" x14ac:dyDescent="0.25">
      <c r="E13" s="1"/>
    </row>
    <row r="14" spans="1:6" x14ac:dyDescent="0.25">
      <c r="E14" s="1"/>
    </row>
    <row r="15" spans="1:6" x14ac:dyDescent="0.25">
      <c r="E1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F705F-1564-47B2-8EA7-616AA8D5FE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html</vt:lpstr>
      <vt:lpstr>Household chores</vt:lpstr>
      <vt:lpstr>Preguntas Journaling</vt:lpstr>
      <vt:lpstr>Horario de Ejercicios</vt:lpstr>
      <vt:lpstr>Learn</vt:lpstr>
      <vt:lpstr>Hoja2</vt:lpstr>
      <vt:lpstr>Proyectos Personales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jaLex cAnAsTo</dc:creator>
  <cp:lastModifiedBy>jaLex cAnAsTo</cp:lastModifiedBy>
  <dcterms:created xsi:type="dcterms:W3CDTF">2026-08-16T16:25:05Z</dcterms:created>
  <dcterms:modified xsi:type="dcterms:W3CDTF">2026-09-25T02:33:20Z</dcterms:modified>
</cp:coreProperties>
</file>